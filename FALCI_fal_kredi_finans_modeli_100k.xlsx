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sayımlar" sheetId="1" state="visible" r:id="rId1"/>
    <sheet name="Fal Başı Ekonomi" sheetId="2" state="visible" r:id="rId2"/>
    <sheet name="Kredi Paketleri" sheetId="3" state="visible" r:id="rId3"/>
    <sheet name="100K Senaryolar" sheetId="4" state="visible" r:id="rId4"/>
    <sheet name="Rate Limit Kapasite" sheetId="5" state="visible" r:id="rId5"/>
    <sheet name="Kur Hassasiyeti" sheetId="6" state="visible" r:id="rId6"/>
    <sheet name="Dashboard Taslağı" sheetId="7" state="visible" r:id="rId7"/>
    <sheet name="Notlar" sheetId="8" state="visible" r:id="rId8"/>
  </sheets>
  <definedNames>
    <definedName name="_xlnm._FilterDatabase" localSheetId="0" hidden="1">'Varsayımlar'!$A$2:$D$22</definedName>
    <definedName name="_xlnm._FilterDatabase" localSheetId="1" hidden="1">'Fal Başı Ekonomi'!$A$2:$E$15</definedName>
    <definedName name="_xlnm._FilterDatabase" localSheetId="2" hidden="1">'Kredi Paketleri'!$A$2:$H$8</definedName>
    <definedName name="_xlnm._FilterDatabase" localSheetId="3" hidden="1">'100K Senaryolar'!$A$2:$M$30</definedName>
    <definedName name="_xlnm._FilterDatabase" localSheetId="4" hidden="1">'Rate Limit Kapasite'!$A$2:$D$12</definedName>
    <definedName name="_xlnm._FilterDatabase" localSheetId="5" hidden="1">'Kur Hassasiyeti'!$A$2:$G$9</definedName>
    <definedName name="_xlnm._FilterDatabase" localSheetId="6" hidden="1">'Dashboard Taslağı'!$A$2:$D$9</definedName>
    <definedName name="_xlnm._FilterDatabase" localSheetId="7" hidden="1">'Notlar'!$A$2:$B$9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.##0,00"/>
    <numFmt numFmtId="165" formatCode="$#.##0,0000"/>
    <numFmt numFmtId="166" formatCode="#.##0,00 &quot;TL&quot;"/>
    <numFmt numFmtId="167" formatCode="0,0%"/>
    <numFmt numFmtId="168" formatCode="#.##0"/>
    <numFmt numFmtId="169" formatCode="#.##0,0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B102E"/>
      </patternFill>
    </fill>
    <fill>
      <patternFill patternType="solid">
        <fgColor rgb="008A6A2A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6E5B35"/>
      </left>
      <right style="thin">
        <color rgb="006E5B35"/>
      </right>
      <top style="thin">
        <color rgb="006E5B35"/>
      </top>
      <bottom style="thin">
        <color rgb="006E5B35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9" fontId="0" fillId="4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168" fontId="0" fillId="0" borderId="1" applyAlignment="1" pivotButton="0" quotePrefix="0" xfId="0">
      <alignment vertical="center" wrapText="1"/>
    </xf>
    <xf numFmtId="169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Aylık Net Kâr Senaryoları</a:t>
            </a:r>
          </a:p>
        </rich>
      </tx>
    </title>
    <plotArea>
      <lineChart>
        <grouping val="standard"/>
        <ser>
          <idx val="0"/>
          <order val="0"/>
          <tx>
            <strRef>
              <f>'100K Senaryolar'!F2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'100K Senaryolar'!$F$3:$F$30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Senaryo satırı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TL/Ay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2</row>
      <rowOff>0</rowOff>
    </from>
    <ext cx="64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8A6A2A"/>
    <outlinePr summaryBelow="1" summaryRight="1"/>
    <pageSetUpPr/>
  </sheetPr>
  <dimension ref="A1:D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  <col width="68" customWidth="1" min="4" max="4"/>
  </cols>
  <sheetData>
    <row r="1">
      <c r="A1" s="1" t="inlineStr">
        <is>
          <t>FALCI Kredi ve Fal Başına Maliyet Modeli - 100.000 Günlük Kullanıcıya Kadar</t>
        </is>
      </c>
      <c r="B1" s="2" t="n"/>
      <c r="C1" s="2" t="n"/>
      <c r="D1" s="2" t="n"/>
    </row>
    <row r="2">
      <c r="A2" s="3" t="inlineStr">
        <is>
          <t>Kalem</t>
        </is>
      </c>
      <c r="B2" s="3" t="inlineStr">
        <is>
          <t>Birim</t>
        </is>
      </c>
      <c r="C2" s="3" t="inlineStr">
        <is>
          <t>Değer</t>
        </is>
      </c>
      <c r="D2" s="3" t="inlineStr">
        <is>
          <t>Not</t>
        </is>
      </c>
    </row>
    <row r="3">
      <c r="A3" s="4" t="inlineStr">
        <is>
          <t>Kur</t>
        </is>
      </c>
      <c r="B3" s="4" t="inlineStr">
        <is>
          <t>USD/TRY</t>
        </is>
      </c>
      <c r="C3" s="5" t="n">
        <v>45.25</v>
      </c>
      <c r="D3" s="4" t="inlineStr">
        <is>
          <t>App içi TL karşılığı ve USD maliyet dönüşümü</t>
        </is>
      </c>
    </row>
    <row r="4">
      <c r="A4" s="4" t="inlineStr">
        <is>
          <t>Kredi fiyatı</t>
        </is>
      </c>
      <c r="B4" s="4" t="inlineStr">
        <is>
          <t>TL / kredi</t>
        </is>
      </c>
      <c r="C4" s="5" t="n">
        <v>3</v>
      </c>
      <c r="D4" s="4" t="inlineStr">
        <is>
          <t>Kredi başı fiyat. Kullanıcı tarafında 3,00 TL gibi gösterilir.</t>
        </is>
      </c>
    </row>
    <row r="5">
      <c r="A5" s="4" t="inlineStr">
        <is>
          <t>Fal başına kredi</t>
        </is>
      </c>
      <c r="B5" s="4" t="inlineStr">
        <is>
          <t>kredi</t>
        </is>
      </c>
      <c r="C5" s="6" t="n">
        <v>10</v>
      </c>
      <c r="D5" s="4" t="inlineStr">
        <is>
          <t>1 kişiye özel fal kaç kredi</t>
        </is>
      </c>
    </row>
    <row r="6">
      <c r="A6" s="4" t="inlineStr">
        <is>
          <t>Alternatif USD fal fiyatı</t>
        </is>
      </c>
      <c r="B6" s="4" t="inlineStr">
        <is>
          <t>USD</t>
        </is>
      </c>
      <c r="C6" s="5" t="n">
        <v>0.6</v>
      </c>
      <c r="D6" s="4" t="inlineStr">
        <is>
          <t>0,60 USD/fal referans fiyatı</t>
        </is>
      </c>
    </row>
    <row r="7">
      <c r="A7" s="4" t="inlineStr">
        <is>
          <t>Store komisyonu</t>
        </is>
      </c>
      <c r="B7" s="4" t="inlineStr">
        <is>
          <t>%</t>
        </is>
      </c>
      <c r="C7" s="7" t="n">
        <v>0.3</v>
      </c>
      <c r="D7" s="4" t="inlineStr">
        <is>
          <t>Her zaman %30 hesaplandı</t>
        </is>
      </c>
    </row>
    <row r="8">
      <c r="A8" s="4" t="inlineStr">
        <is>
          <t>KDV/VAT</t>
        </is>
      </c>
      <c r="B8" s="4" t="inlineStr">
        <is>
          <t>%</t>
        </is>
      </c>
      <c r="C8" s="7" t="n">
        <v>0.2</v>
      </c>
      <c r="D8" s="4" t="inlineStr">
        <is>
          <t>Türkiye için %20 varsayım; ülkeye göre değişebilir</t>
        </is>
      </c>
    </row>
    <row r="9">
      <c r="A9" s="4" t="inlineStr">
        <is>
          <t>Gelir/Kurumlar vergisi</t>
        </is>
      </c>
      <c r="B9" s="4" t="inlineStr">
        <is>
          <t>%</t>
        </is>
      </c>
      <c r="C9" s="7" t="n">
        <v>0.3</v>
      </c>
      <c r="D9" s="4" t="inlineStr">
        <is>
          <t>Basit model; gerçek muhasebe farklılaşabilir</t>
        </is>
      </c>
    </row>
    <row r="10">
      <c r="A10" s="4" t="inlineStr">
        <is>
          <t>Input token</t>
        </is>
      </c>
      <c r="B10" s="4" t="inlineStr">
        <is>
          <t>token/fal</t>
        </is>
      </c>
      <c r="C10" s="6" t="n">
        <v>20000</v>
      </c>
      <c r="D10" s="4" t="inlineStr">
        <is>
          <t>Kişiye özel ağır fal varsayımı</t>
        </is>
      </c>
    </row>
    <row r="11">
      <c r="A11" s="4" t="inlineStr">
        <is>
          <t>Output token</t>
        </is>
      </c>
      <c r="B11" s="4" t="inlineStr">
        <is>
          <t>token/fal</t>
        </is>
      </c>
      <c r="C11" s="6" t="n">
        <v>20000</v>
      </c>
      <c r="D11" s="4" t="inlineStr">
        <is>
          <t>Kişiye özel ağır fal varsayımı</t>
        </is>
      </c>
    </row>
    <row r="12">
      <c r="A12" s="4" t="inlineStr">
        <is>
          <t>Gemini input fiyatı</t>
        </is>
      </c>
      <c r="B12" s="4" t="inlineStr">
        <is>
          <t>USD / 1M token</t>
        </is>
      </c>
      <c r="C12" s="5" t="n">
        <v>0.1</v>
      </c>
      <c r="D12" s="4" t="inlineStr">
        <is>
          <t>Gemini 2.5 Flash Lite varsayımı</t>
        </is>
      </c>
    </row>
    <row r="13">
      <c r="A13" s="4" t="inlineStr">
        <is>
          <t>Gemini output fiyatı</t>
        </is>
      </c>
      <c r="B13" s="4" t="inlineStr">
        <is>
          <t>USD / 1M token</t>
        </is>
      </c>
      <c r="C13" s="5" t="n">
        <v>0.4</v>
      </c>
      <c r="D13" s="4" t="inlineStr">
        <is>
          <t>Gemini 2.5 Flash Lite varsayımı</t>
        </is>
      </c>
    </row>
    <row r="14">
      <c r="A14" s="4" t="inlineStr">
        <is>
          <t>Gemini maliyet paranoya katsayısı</t>
        </is>
      </c>
      <c r="B14" s="4" t="inlineStr">
        <is>
          <t>x</t>
        </is>
      </c>
      <c r="C14" s="5" t="n">
        <v>3</v>
      </c>
      <c r="D14" s="4" t="inlineStr">
        <is>
          <t>Google faturasına güvenmeme tamponu</t>
        </is>
      </c>
    </row>
    <row r="15">
      <c r="A15" s="4" t="inlineStr">
        <is>
          <t>Server baz maliyeti</t>
        </is>
      </c>
      <c r="B15" s="4" t="inlineStr">
        <is>
          <t>USD / fal</t>
        </is>
      </c>
      <c r="C15" s="5" t="n">
        <v>9.1e-05</v>
      </c>
      <c r="D15" s="4" t="inlineStr">
        <is>
          <t>Compute + trafik kaba ortalama</t>
        </is>
      </c>
    </row>
    <row r="16">
      <c r="A16" s="4" t="inlineStr">
        <is>
          <t>Server paranoya katsayısı</t>
        </is>
      </c>
      <c r="B16" s="4" t="inlineStr">
        <is>
          <t>x</t>
        </is>
      </c>
      <c r="C16" s="5" t="n">
        <v>10</v>
      </c>
      <c r="D16" s="4" t="inlineStr">
        <is>
          <t>Server maliyeti 10x büyütüldü</t>
        </is>
      </c>
    </row>
    <row r="17">
      <c r="A17" s="4" t="inlineStr">
        <is>
          <t>Günlük kullanıcı üst sınırı</t>
        </is>
      </c>
      <c r="B17" s="4" t="inlineStr">
        <is>
          <t>DAU</t>
        </is>
      </c>
      <c r="C17" s="6" t="n">
        <v>100000</v>
      </c>
      <c r="D17" s="4" t="inlineStr">
        <is>
          <t>Bu dosyada maksimum senaryo</t>
        </is>
      </c>
    </row>
    <row r="18">
      <c r="A18" s="4" t="inlineStr">
        <is>
          <t>Varsayılan fal / kullanıcı / gün</t>
        </is>
      </c>
      <c r="B18" s="4" t="inlineStr">
        <is>
          <t>adet</t>
        </is>
      </c>
      <c r="C18" s="6" t="n">
        <v>10</v>
      </c>
      <c r="D18" s="4" t="inlineStr">
        <is>
          <t>Ana senaryo varsayımı</t>
        </is>
      </c>
    </row>
    <row r="19">
      <c r="A19" s="4" t="inlineStr">
        <is>
          <t>Gemini RPM limiti</t>
        </is>
      </c>
      <c r="B19" s="4" t="inlineStr">
        <is>
          <t>request/dk</t>
        </is>
      </c>
      <c r="C19" s="6" t="n">
        <v>10000</v>
      </c>
      <c r="D19" s="4" t="inlineStr">
        <is>
          <t>Model limit seti</t>
        </is>
      </c>
    </row>
    <row r="20">
      <c r="A20" s="4" t="inlineStr">
        <is>
          <t>Gemini TPM limiti</t>
        </is>
      </c>
      <c r="B20" s="4" t="inlineStr">
        <is>
          <t>token/dk</t>
        </is>
      </c>
      <c r="C20" s="6" t="n">
        <v>10000000</v>
      </c>
      <c r="D20" s="4" t="inlineStr">
        <is>
          <t>Model limit seti</t>
        </is>
      </c>
    </row>
    <row r="21">
      <c r="A21" s="4" t="inlineStr">
        <is>
          <t>Backend limit eşiği</t>
        </is>
      </c>
      <c r="B21" s="4" t="inlineStr">
        <is>
          <t>%</t>
        </is>
      </c>
      <c r="C21" s="7" t="n">
        <v>0.85</v>
      </c>
      <c r="D21" s="4" t="inlineStr">
        <is>
          <t>%85'te durma</t>
        </is>
      </c>
    </row>
    <row r="22">
      <c r="A22" s="4" t="inlineStr">
        <is>
          <t>Token güvenlik katsayısı</t>
        </is>
      </c>
      <c r="B22" s="4" t="inlineStr">
        <is>
          <t>x</t>
        </is>
      </c>
      <c r="C22" s="5" t="n">
        <v>2</v>
      </c>
      <c r="D22" s="4" t="inlineStr">
        <is>
          <t>Rate-limit için tokenları 2x sayma</t>
        </is>
      </c>
    </row>
  </sheetData>
  <autoFilter ref="A2:D22"/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B102E"/>
    <outlinePr summaryBelow="1" summaryRight="1"/>
    <pageSetUpPr/>
  </sheetPr>
  <dimension ref="A1:E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16" customWidth="1" min="3" max="3"/>
    <col width="16" customWidth="1" min="4" max="4"/>
    <col width="52" customWidth="1" min="5" max="5"/>
  </cols>
  <sheetData>
    <row r="1">
      <c r="A1" s="1" t="inlineStr">
        <is>
          <t>Fal Başına Birim Ekonomi</t>
        </is>
      </c>
      <c r="B1" s="2" t="n"/>
      <c r="C1" s="2" t="n"/>
      <c r="D1" s="2" t="n"/>
      <c r="E1" s="2" t="n"/>
    </row>
    <row r="2">
      <c r="A2" s="3" t="inlineStr">
        <is>
          <t>Kalem</t>
        </is>
      </c>
      <c r="B2" s="3" t="inlineStr">
        <is>
          <t>Formül</t>
        </is>
      </c>
      <c r="C2" s="3" t="inlineStr">
        <is>
          <t>USD</t>
        </is>
      </c>
      <c r="D2" s="3" t="inlineStr">
        <is>
          <t>TL</t>
        </is>
      </c>
      <c r="E2" s="3" t="inlineStr">
        <is>
          <t>Açıklama</t>
        </is>
      </c>
    </row>
    <row r="3">
      <c r="A3" s="4" t="inlineStr">
        <is>
          <t>Krediyle brüt satış fiyatı</t>
        </is>
      </c>
      <c r="B3" s="4">
        <f>kredi fiyatı x fal kredisi</f>
        <v/>
      </c>
      <c r="C3" s="8">
        <f>Varsayımlar!C4*Varsayımlar!C5/Varsayımlar!C3</f>
        <v/>
      </c>
      <c r="D3" s="9">
        <f>Varsayımlar!C4*Varsayımlar!C5</f>
        <v/>
      </c>
      <c r="E3" s="4" t="inlineStr">
        <is>
          <t>10 kredi x 3,00 TL</t>
        </is>
      </c>
    </row>
    <row r="4">
      <c r="A4" s="4" t="inlineStr">
        <is>
          <t>0,60 USD referans fiyatının TL karşılığı</t>
        </is>
      </c>
      <c r="B4" s="4">
        <f>0,60 x kur</f>
        <v/>
      </c>
      <c r="C4" s="8">
        <f>Varsayımlar!C6</f>
        <v/>
      </c>
      <c r="D4" s="9">
        <f>Varsayımlar!C6*Varsayımlar!C3</f>
        <v/>
      </c>
      <c r="E4" s="4" t="inlineStr">
        <is>
          <t>Referans satış fiyatı</t>
        </is>
      </c>
    </row>
    <row r="5">
      <c r="A5" s="4" t="inlineStr">
        <is>
          <t>KDV hariç gelir</t>
        </is>
      </c>
      <c r="B5" s="4">
        <f>brüt / (1 + KDV)</f>
        <v/>
      </c>
      <c r="C5" s="8">
        <f>C3/(1+Varsayımlar!C8)</f>
        <v/>
      </c>
      <c r="D5" s="9">
        <f>D3/(1+Varsayımlar!C8)</f>
        <v/>
      </c>
      <c r="E5" s="4" t="inlineStr">
        <is>
          <t>Brüt fiyattan KDV/VAT ayrıldı</t>
        </is>
      </c>
    </row>
    <row r="6">
      <c r="A6" s="4" t="inlineStr">
        <is>
          <t>Store sonrası gelir</t>
        </is>
      </c>
      <c r="B6" s="4">
        <f>KDV hariç x %70</f>
        <v/>
      </c>
      <c r="C6" s="8">
        <f>C5*(1-Varsayımlar!C7)</f>
        <v/>
      </c>
      <c r="D6" s="9">
        <f>D5*(1-Varsayımlar!C7)</f>
        <v/>
      </c>
      <c r="E6" s="4" t="inlineStr">
        <is>
          <t>%30 App Store / Play Store komisyonu</t>
        </is>
      </c>
    </row>
    <row r="7">
      <c r="A7" s="4" t="inlineStr">
        <is>
          <t>Gemini baz maliyet</t>
        </is>
      </c>
      <c r="B7" s="4">
        <f>(input/1M x fiyat)+(output/1M x fiyat)</f>
        <v/>
      </c>
      <c r="C7" s="8">
        <f>(Varsayımlar!C10/1000000*Varsayımlar!C12)+(Varsayımlar!C11/1000000*Varsayımlar!C13)</f>
        <v/>
      </c>
      <c r="D7" s="9">
        <f>C7*Varsayımlar!C3</f>
        <v/>
      </c>
      <c r="E7" s="4" t="inlineStr">
        <is>
          <t>20k input + 20k output</t>
        </is>
      </c>
    </row>
    <row r="8">
      <c r="A8" s="4" t="inlineStr">
        <is>
          <t>Gemini paranoyak maliyet</t>
        </is>
      </c>
      <c r="B8" s="4">
        <f>baz x 3</f>
        <v/>
      </c>
      <c r="C8" s="8">
        <f>C7*Varsayımlar!C14</f>
        <v/>
      </c>
      <c r="D8" s="9">
        <f>C8*Varsayımlar!C3</f>
        <v/>
      </c>
      <c r="E8" s="4" t="inlineStr">
        <is>
          <t>Google faturasına 3x tampon</t>
        </is>
      </c>
    </row>
    <row r="9">
      <c r="A9" s="4" t="inlineStr">
        <is>
          <t>Server paranoyak maliyet</t>
        </is>
      </c>
      <c r="B9" s="4">
        <f>baz server x 10</f>
        <v/>
      </c>
      <c r="C9" s="8">
        <f>Varsayımlar!C15*Varsayımlar!C16</f>
        <v/>
      </c>
      <c r="D9" s="9">
        <f>C9*Varsayımlar!C3</f>
        <v/>
      </c>
      <c r="E9" s="4" t="inlineStr">
        <is>
          <t>Server maliyeti 10x büyütüldü</t>
        </is>
      </c>
    </row>
    <row r="10">
      <c r="A10" s="10" t="inlineStr">
        <is>
          <t>Toplam paranoyak maliyet</t>
        </is>
      </c>
      <c r="B10" s="4">
        <f>Gemini 3x + Server 10x</f>
        <v/>
      </c>
      <c r="C10" s="8">
        <f>C8+C9</f>
        <v/>
      </c>
      <c r="D10" s="9">
        <f>D8+D9</f>
        <v/>
      </c>
      <c r="E10" s="4" t="inlineStr">
        <is>
          <t>Fal başına maliyet</t>
        </is>
      </c>
    </row>
    <row r="11">
      <c r="A11" s="4" t="inlineStr">
        <is>
          <t>Vergi öncesi kâr</t>
        </is>
      </c>
      <c r="B11" s="4">
        <f>Store sonrası gelir - maliyet</f>
        <v/>
      </c>
      <c r="C11" s="8">
        <f>C6-C10</f>
        <v/>
      </c>
      <c r="D11" s="9">
        <f>D6-D10</f>
        <v/>
      </c>
      <c r="E11" s="4" t="inlineStr">
        <is>
          <t>Gelir vergisi öncesi</t>
        </is>
      </c>
    </row>
    <row r="12">
      <c r="A12" s="4" t="inlineStr">
        <is>
          <t>Gelir/Kurumlar vergisi</t>
        </is>
      </c>
      <c r="B12" s="4">
        <f>kâr x %30</f>
        <v/>
      </c>
      <c r="C12" s="8">
        <f>MAX(0,C11*Varsayımlar!C9)</f>
        <v/>
      </c>
      <c r="D12" s="9">
        <f>MAX(0,D11*Varsayımlar!C9)</f>
        <v/>
      </c>
      <c r="E12" s="4" t="inlineStr">
        <is>
          <t>Basit vergi varsayımı</t>
        </is>
      </c>
    </row>
    <row r="13">
      <c r="A13" s="4" t="inlineStr">
        <is>
          <t>Net kâr</t>
        </is>
      </c>
      <c r="B13" s="4">
        <f>Vergi öncesi kâr - vergi</f>
        <v/>
      </c>
      <c r="C13" s="8">
        <f>C11-C12</f>
        <v/>
      </c>
      <c r="D13" s="9">
        <f>D11-D12</f>
        <v/>
      </c>
      <c r="E13" s="4" t="inlineStr">
        <is>
          <t>Fal başına net kalan</t>
        </is>
      </c>
    </row>
    <row r="14">
      <c r="A14" s="4" t="inlineStr">
        <is>
          <t>Net marj</t>
        </is>
      </c>
      <c r="B14" s="4">
        <f>Net kâr / brüt fiyat</f>
        <v/>
      </c>
      <c r="C14" s="11">
        <f>C13/C3</f>
        <v/>
      </c>
      <c r="D14" s="11">
        <f>D13/D3</f>
        <v/>
      </c>
      <c r="E14" s="4" t="inlineStr">
        <is>
          <t>Brüt fiyat üzerinden</t>
        </is>
      </c>
    </row>
    <row r="15">
      <c r="A15" s="10" t="inlineStr">
        <is>
          <t>Break-even brüt fiyat</t>
        </is>
      </c>
      <c r="B15" s="4">
        <f>maliyet / %70 / %70 x KDV</f>
        <v/>
      </c>
      <c r="C15" s="8">
        <f>C10/((1-Varsayımlar!C7)*(1-Varsayımlar!C9))*(1+Varsayımlar!C8)</f>
        <v/>
      </c>
      <c r="D15" s="9">
        <f>C15*Varsayımlar!C3</f>
        <v/>
      </c>
      <c r="E15" s="4" t="inlineStr">
        <is>
          <t>Net sıfır kâr için minimum satış</t>
        </is>
      </c>
    </row>
  </sheetData>
  <autoFilter ref="A2:E15"/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9B66F"/>
    <outlinePr summaryBelow="1" summaryRight="1"/>
    <pageSetUpPr/>
  </sheetPr>
  <dimension ref="A1:H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6" customWidth="1" min="4" max="4"/>
    <col width="12" customWidth="1" min="5" max="5"/>
    <col width="14" customWidth="1" min="6" max="6"/>
    <col width="14" customWidth="1" min="7" max="7"/>
    <col width="40" customWidth="1" min="8" max="8"/>
  </cols>
  <sheetData>
    <row r="1">
      <c r="A1" s="1" t="inlineStr">
        <is>
          <t>Kredi Paketleri ve Fal Karşılığı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Paket</t>
        </is>
      </c>
      <c r="B2" s="3" t="inlineStr">
        <is>
          <t>Kredi</t>
        </is>
      </c>
      <c r="C2" s="3" t="inlineStr">
        <is>
          <t>Fiyat TL</t>
        </is>
      </c>
      <c r="D2" s="3" t="inlineStr">
        <is>
          <t>Kredi başı TL</t>
        </is>
      </c>
      <c r="E2" s="3" t="inlineStr">
        <is>
          <t>Fal sayısı</t>
        </is>
      </c>
      <c r="F2" s="3" t="inlineStr">
        <is>
          <t>Fal başı TL</t>
        </is>
      </c>
      <c r="G2" s="3" t="inlineStr">
        <is>
          <t>Fal başı USD</t>
        </is>
      </c>
      <c r="H2" s="3" t="inlineStr">
        <is>
          <t>Not</t>
        </is>
      </c>
    </row>
    <row r="3">
      <c r="A3" s="4" t="inlineStr">
        <is>
          <t>Mini</t>
        </is>
      </c>
      <c r="B3" s="4" t="n">
        <v>30</v>
      </c>
      <c r="C3" s="9" t="n">
        <v>99</v>
      </c>
      <c r="D3" s="9">
        <f>C3/B3</f>
        <v/>
      </c>
      <c r="E3" s="4">
        <f>B3/Varsayımlar!C5</f>
        <v/>
      </c>
      <c r="F3" s="9">
        <f>C3/E3</f>
        <v/>
      </c>
      <c r="G3" s="8">
        <f>F3/Varsayımlar!C3</f>
        <v/>
      </c>
      <c r="H3" s="4" t="inlineStr">
        <is>
          <t>Küçük deneme paketi</t>
        </is>
      </c>
    </row>
    <row r="4">
      <c r="A4" s="4" t="inlineStr">
        <is>
          <t>Başlangıç</t>
        </is>
      </c>
      <c r="B4" s="4" t="n">
        <v>50</v>
      </c>
      <c r="C4" s="9" t="n">
        <v>199</v>
      </c>
      <c r="D4" s="9">
        <f>C4/B4</f>
        <v/>
      </c>
      <c r="E4" s="4">
        <f>B4/Varsayımlar!C5</f>
        <v/>
      </c>
      <c r="F4" s="9">
        <f>C4/E4</f>
        <v/>
      </c>
      <c r="G4" s="8">
        <f>F4/Varsayımlar!C3</f>
        <v/>
      </c>
      <c r="H4" s="4" t="inlineStr">
        <is>
          <t>İlk satın alma için</t>
        </is>
      </c>
    </row>
    <row r="5">
      <c r="A5" s="4" t="inlineStr">
        <is>
          <t>Popüler</t>
        </is>
      </c>
      <c r="B5" s="4" t="n">
        <v>150</v>
      </c>
      <c r="C5" s="9" t="n">
        <v>549</v>
      </c>
      <c r="D5" s="9">
        <f>C5/B5</f>
        <v/>
      </c>
      <c r="E5" s="4">
        <f>B5/Varsayımlar!C5</f>
        <v/>
      </c>
      <c r="F5" s="9">
        <f>C5/E5</f>
        <v/>
      </c>
      <c r="G5" s="8">
        <f>F5/Varsayımlar!C3</f>
        <v/>
      </c>
      <c r="H5" s="4" t="inlineStr">
        <is>
          <t>Daha düşük kredi başı</t>
        </is>
      </c>
    </row>
    <row r="6">
      <c r="A6" s="4" t="inlineStr">
        <is>
          <t>Avantajlı</t>
        </is>
      </c>
      <c r="B6" s="4" t="n">
        <v>350</v>
      </c>
      <c r="C6" s="9" t="n">
        <v>1199</v>
      </c>
      <c r="D6" s="9">
        <f>C6/B6</f>
        <v/>
      </c>
      <c r="E6" s="4">
        <f>B6/Varsayımlar!C5</f>
        <v/>
      </c>
      <c r="F6" s="9">
        <f>C6/E6</f>
        <v/>
      </c>
      <c r="G6" s="8">
        <f>F6/Varsayımlar!C3</f>
        <v/>
      </c>
      <c r="H6" s="4" t="inlineStr">
        <is>
          <t>Orta/ağır kullanıcı</t>
        </is>
      </c>
    </row>
    <row r="7">
      <c r="A7" s="4" t="inlineStr">
        <is>
          <t>Büyük</t>
        </is>
      </c>
      <c r="B7" s="4" t="n">
        <v>750</v>
      </c>
      <c r="C7" s="9" t="n">
        <v>2399</v>
      </c>
      <c r="D7" s="9">
        <f>C7/B7</f>
        <v/>
      </c>
      <c r="E7" s="4">
        <f>B7/Varsayımlar!C5</f>
        <v/>
      </c>
      <c r="F7" s="9">
        <f>C7/E7</f>
        <v/>
      </c>
      <c r="G7" s="8">
        <f>F7/Varsayımlar!C3</f>
        <v/>
      </c>
      <c r="H7" s="4" t="inlineStr">
        <is>
          <t>En iyi birim fiyat</t>
        </is>
      </c>
    </row>
    <row r="8">
      <c r="A8" s="4" t="inlineStr">
        <is>
          <t>Senin baz model</t>
        </is>
      </c>
      <c r="B8" s="4" t="n">
        <v>10</v>
      </c>
      <c r="C8" s="9" t="n">
        <v>30</v>
      </c>
      <c r="D8" s="9">
        <f>C8/B8</f>
        <v/>
      </c>
      <c r="E8" s="4">
        <f>B8/Varsayımlar!C5</f>
        <v/>
      </c>
      <c r="F8" s="9">
        <f>C8/E8</f>
        <v/>
      </c>
      <c r="G8" s="8">
        <f>F8/Varsayımlar!C3</f>
        <v/>
      </c>
      <c r="H8" s="4" t="inlineStr">
        <is>
          <t>1 fal = 10 kredi x 3,00 TL</t>
        </is>
      </c>
    </row>
  </sheetData>
  <autoFilter ref="A2:H8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M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8" customWidth="1" min="4" max="4"/>
    <col width="18" customWidth="1" min="5" max="5"/>
    <col width="18" customWidth="1" min="6" max="6"/>
    <col width="18" customWidth="1" min="7" max="7"/>
    <col width="20" customWidth="1" min="8" max="8"/>
    <col width="18" customWidth="1" min="9" max="9"/>
    <col width="20" customWidth="1" min="10" max="10"/>
    <col width="14" customWidth="1" min="11" max="11"/>
    <col width="20" customWidth="1" min="12" max="12"/>
    <col width="16" customWidth="1" min="13" max="13"/>
  </cols>
  <sheetData>
    <row r="1">
      <c r="A1" s="1" t="inlineStr">
        <is>
          <t>Günlük Kullanıcı ve Fal Sayısı Senaryoları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DAU</t>
        </is>
      </c>
      <c r="B2" s="3" t="inlineStr">
        <is>
          <t>Fal/Kullanıcı/Gün</t>
        </is>
      </c>
      <c r="C2" s="3" t="inlineStr">
        <is>
          <t>Fal/Gün</t>
        </is>
      </c>
      <c r="D2" s="3" t="inlineStr">
        <is>
          <t>Brüt Ciro TL/Gün</t>
        </is>
      </c>
      <c r="E2" s="3" t="inlineStr">
        <is>
          <t>Net Kâr TL/Gün</t>
        </is>
      </c>
      <c r="F2" s="3" t="inlineStr">
        <is>
          <t>Net Kâr TL/Ay</t>
        </is>
      </c>
      <c r="G2" s="3" t="inlineStr">
        <is>
          <t>Net Kâr USD/Ay</t>
        </is>
      </c>
      <c r="H2" s="3" t="inlineStr">
        <is>
          <t>Gemini+Server USD/Gün</t>
        </is>
      </c>
      <c r="I2" s="3" t="inlineStr">
        <is>
          <t>Raw Token/Gün</t>
        </is>
      </c>
      <c r="J2" s="3" t="inlineStr">
        <is>
          <t>Efektif Token/Gün</t>
        </is>
      </c>
      <c r="K2" s="3" t="inlineStr">
        <is>
          <t>Ortalama RPM</t>
        </is>
      </c>
      <c r="L2" s="3" t="inlineStr">
        <is>
          <t>Ortalama Efektif TPM</t>
        </is>
      </c>
      <c r="M2" s="3" t="inlineStr">
        <is>
          <t>Kapasite Durumu</t>
        </is>
      </c>
    </row>
    <row r="3">
      <c r="A3" s="4" t="n">
        <v>1000</v>
      </c>
      <c r="B3" s="4" t="n">
        <v>1</v>
      </c>
      <c r="C3" s="4">
        <f>A3*B3</f>
        <v/>
      </c>
      <c r="D3" s="9">
        <f>C3*'Fal Başı Ekonomi'!D3</f>
        <v/>
      </c>
      <c r="E3" s="9">
        <f>C3*'Fal Başı Ekonomi'!D13</f>
        <v/>
      </c>
      <c r="F3" s="9">
        <f>E3*30</f>
        <v/>
      </c>
      <c r="G3" s="8">
        <f>F3/Varsayımlar!C3</f>
        <v/>
      </c>
      <c r="H3" s="8">
        <f>C3*'Fal Başı Ekonomi'!C10</f>
        <v/>
      </c>
      <c r="I3" s="12">
        <f>C3*(Varsayımlar!C10+Varsayımlar!C11)</f>
        <v/>
      </c>
      <c r="J3" s="12">
        <f>I3*Varsayımlar!C22</f>
        <v/>
      </c>
      <c r="K3" s="13">
        <f>C3/1440</f>
        <v/>
      </c>
      <c r="L3" s="12">
        <f>J3/1440</f>
        <v/>
      </c>
      <c r="M3" s="4">
        <f>IF(OR(K3&gt;Varsayımlar!C19*Varsayımlar!C21,L3&gt;Varsayımlar!C20*Varsayımlar!C21),"Limit aşılır","Sığar")</f>
        <v/>
      </c>
    </row>
    <row r="4">
      <c r="A4" s="4" t="n">
        <v>1000</v>
      </c>
      <c r="B4" s="4" t="n">
        <v>3</v>
      </c>
      <c r="C4" s="4">
        <f>A4*B4</f>
        <v/>
      </c>
      <c r="D4" s="9">
        <f>C4*'Fal Başı Ekonomi'!D3</f>
        <v/>
      </c>
      <c r="E4" s="9">
        <f>C4*'Fal Başı Ekonomi'!D13</f>
        <v/>
      </c>
      <c r="F4" s="9">
        <f>E4*30</f>
        <v/>
      </c>
      <c r="G4" s="8">
        <f>F4/Varsayımlar!C3</f>
        <v/>
      </c>
      <c r="H4" s="8">
        <f>C4*'Fal Başı Ekonomi'!C10</f>
        <v/>
      </c>
      <c r="I4" s="12">
        <f>C4*(Varsayımlar!C10+Varsayımlar!C11)</f>
        <v/>
      </c>
      <c r="J4" s="12">
        <f>I4*Varsayımlar!C22</f>
        <v/>
      </c>
      <c r="K4" s="13">
        <f>C4/1440</f>
        <v/>
      </c>
      <c r="L4" s="12">
        <f>J4/1440</f>
        <v/>
      </c>
      <c r="M4" s="4">
        <f>IF(OR(K4&gt;Varsayımlar!C19*Varsayımlar!C21,L4&gt;Varsayımlar!C20*Varsayımlar!C21),"Limit aşılır","Sığar")</f>
        <v/>
      </c>
    </row>
    <row r="5">
      <c r="A5" s="4" t="n">
        <v>1000</v>
      </c>
      <c r="B5" s="4" t="n">
        <v>5</v>
      </c>
      <c r="C5" s="4">
        <f>A5*B5</f>
        <v/>
      </c>
      <c r="D5" s="9">
        <f>C5*'Fal Başı Ekonomi'!D3</f>
        <v/>
      </c>
      <c r="E5" s="9">
        <f>C5*'Fal Başı Ekonomi'!D13</f>
        <v/>
      </c>
      <c r="F5" s="9">
        <f>E5*30</f>
        <v/>
      </c>
      <c r="G5" s="8">
        <f>F5/Varsayımlar!C3</f>
        <v/>
      </c>
      <c r="H5" s="8">
        <f>C5*'Fal Başı Ekonomi'!C10</f>
        <v/>
      </c>
      <c r="I5" s="12">
        <f>C5*(Varsayımlar!C10+Varsayımlar!C11)</f>
        <v/>
      </c>
      <c r="J5" s="12">
        <f>I5*Varsayımlar!C22</f>
        <v/>
      </c>
      <c r="K5" s="13">
        <f>C5/1440</f>
        <v/>
      </c>
      <c r="L5" s="12">
        <f>J5/1440</f>
        <v/>
      </c>
      <c r="M5" s="4">
        <f>IF(OR(K5&gt;Varsayımlar!C19*Varsayımlar!C21,L5&gt;Varsayımlar!C20*Varsayımlar!C21),"Limit aşılır","Sığar")</f>
        <v/>
      </c>
    </row>
    <row r="6">
      <c r="A6" s="4" t="n">
        <v>1000</v>
      </c>
      <c r="B6" s="4" t="n">
        <v>10</v>
      </c>
      <c r="C6" s="4">
        <f>A6*B6</f>
        <v/>
      </c>
      <c r="D6" s="9">
        <f>C6*'Fal Başı Ekonomi'!D3</f>
        <v/>
      </c>
      <c r="E6" s="9">
        <f>C6*'Fal Başı Ekonomi'!D13</f>
        <v/>
      </c>
      <c r="F6" s="9">
        <f>E6*30</f>
        <v/>
      </c>
      <c r="G6" s="8">
        <f>F6/Varsayımlar!C3</f>
        <v/>
      </c>
      <c r="H6" s="8">
        <f>C6*'Fal Başı Ekonomi'!C10</f>
        <v/>
      </c>
      <c r="I6" s="12">
        <f>C6*(Varsayımlar!C10+Varsayımlar!C11)</f>
        <v/>
      </c>
      <c r="J6" s="12">
        <f>I6*Varsayımlar!C22</f>
        <v/>
      </c>
      <c r="K6" s="13">
        <f>C6/1440</f>
        <v/>
      </c>
      <c r="L6" s="12">
        <f>J6/1440</f>
        <v/>
      </c>
      <c r="M6" s="4">
        <f>IF(OR(K6&gt;Varsayımlar!C19*Varsayımlar!C21,L6&gt;Varsayımlar!C20*Varsayımlar!C21),"Limit aşılır","Sığar")</f>
        <v/>
      </c>
    </row>
    <row r="7">
      <c r="A7" s="4" t="n">
        <v>5000</v>
      </c>
      <c r="B7" s="4" t="n">
        <v>1</v>
      </c>
      <c r="C7" s="4">
        <f>A7*B7</f>
        <v/>
      </c>
      <c r="D7" s="9">
        <f>C7*'Fal Başı Ekonomi'!D3</f>
        <v/>
      </c>
      <c r="E7" s="9">
        <f>C7*'Fal Başı Ekonomi'!D13</f>
        <v/>
      </c>
      <c r="F7" s="9">
        <f>E7*30</f>
        <v/>
      </c>
      <c r="G7" s="8">
        <f>F7/Varsayımlar!C3</f>
        <v/>
      </c>
      <c r="H7" s="8">
        <f>C7*'Fal Başı Ekonomi'!C10</f>
        <v/>
      </c>
      <c r="I7" s="12">
        <f>C7*(Varsayımlar!C10+Varsayımlar!C11)</f>
        <v/>
      </c>
      <c r="J7" s="12">
        <f>I7*Varsayımlar!C22</f>
        <v/>
      </c>
      <c r="K7" s="13">
        <f>C7/1440</f>
        <v/>
      </c>
      <c r="L7" s="12">
        <f>J7/1440</f>
        <v/>
      </c>
      <c r="M7" s="4">
        <f>IF(OR(K7&gt;Varsayımlar!C19*Varsayımlar!C21,L7&gt;Varsayımlar!C20*Varsayımlar!C21),"Limit aşılır","Sığar")</f>
        <v/>
      </c>
    </row>
    <row r="8">
      <c r="A8" s="4" t="n">
        <v>5000</v>
      </c>
      <c r="B8" s="4" t="n">
        <v>3</v>
      </c>
      <c r="C8" s="4">
        <f>A8*B8</f>
        <v/>
      </c>
      <c r="D8" s="9">
        <f>C8*'Fal Başı Ekonomi'!D3</f>
        <v/>
      </c>
      <c r="E8" s="9">
        <f>C8*'Fal Başı Ekonomi'!D13</f>
        <v/>
      </c>
      <c r="F8" s="9">
        <f>E8*30</f>
        <v/>
      </c>
      <c r="G8" s="8">
        <f>F8/Varsayımlar!C3</f>
        <v/>
      </c>
      <c r="H8" s="8">
        <f>C8*'Fal Başı Ekonomi'!C10</f>
        <v/>
      </c>
      <c r="I8" s="12">
        <f>C8*(Varsayımlar!C10+Varsayımlar!C11)</f>
        <v/>
      </c>
      <c r="J8" s="12">
        <f>I8*Varsayımlar!C22</f>
        <v/>
      </c>
      <c r="K8" s="13">
        <f>C8/1440</f>
        <v/>
      </c>
      <c r="L8" s="12">
        <f>J8/1440</f>
        <v/>
      </c>
      <c r="M8" s="4">
        <f>IF(OR(K8&gt;Varsayımlar!C19*Varsayımlar!C21,L8&gt;Varsayımlar!C20*Varsayımlar!C21),"Limit aşılır","Sığar")</f>
        <v/>
      </c>
    </row>
    <row r="9">
      <c r="A9" s="4" t="n">
        <v>5000</v>
      </c>
      <c r="B9" s="4" t="n">
        <v>5</v>
      </c>
      <c r="C9" s="4">
        <f>A9*B9</f>
        <v/>
      </c>
      <c r="D9" s="9">
        <f>C9*'Fal Başı Ekonomi'!D3</f>
        <v/>
      </c>
      <c r="E9" s="9">
        <f>C9*'Fal Başı Ekonomi'!D13</f>
        <v/>
      </c>
      <c r="F9" s="9">
        <f>E9*30</f>
        <v/>
      </c>
      <c r="G9" s="8">
        <f>F9/Varsayımlar!C3</f>
        <v/>
      </c>
      <c r="H9" s="8">
        <f>C9*'Fal Başı Ekonomi'!C10</f>
        <v/>
      </c>
      <c r="I9" s="12">
        <f>C9*(Varsayımlar!C10+Varsayımlar!C11)</f>
        <v/>
      </c>
      <c r="J9" s="12">
        <f>I9*Varsayımlar!C22</f>
        <v/>
      </c>
      <c r="K9" s="13">
        <f>C9/1440</f>
        <v/>
      </c>
      <c r="L9" s="12">
        <f>J9/1440</f>
        <v/>
      </c>
      <c r="M9" s="4">
        <f>IF(OR(K9&gt;Varsayımlar!C19*Varsayımlar!C21,L9&gt;Varsayımlar!C20*Varsayımlar!C21),"Limit aşılır","Sığar")</f>
        <v/>
      </c>
    </row>
    <row r="10">
      <c r="A10" s="4" t="n">
        <v>5000</v>
      </c>
      <c r="B10" s="4" t="n">
        <v>10</v>
      </c>
      <c r="C10" s="4">
        <f>A10*B10</f>
        <v/>
      </c>
      <c r="D10" s="9">
        <f>C10*'Fal Başı Ekonomi'!D3</f>
        <v/>
      </c>
      <c r="E10" s="9">
        <f>C10*'Fal Başı Ekonomi'!D13</f>
        <v/>
      </c>
      <c r="F10" s="9">
        <f>E10*30</f>
        <v/>
      </c>
      <c r="G10" s="8">
        <f>F10/Varsayımlar!C3</f>
        <v/>
      </c>
      <c r="H10" s="8">
        <f>C10*'Fal Başı Ekonomi'!C10</f>
        <v/>
      </c>
      <c r="I10" s="12">
        <f>C10*(Varsayımlar!C10+Varsayımlar!C11)</f>
        <v/>
      </c>
      <c r="J10" s="12">
        <f>I10*Varsayımlar!C22</f>
        <v/>
      </c>
      <c r="K10" s="13">
        <f>C10/1440</f>
        <v/>
      </c>
      <c r="L10" s="12">
        <f>J10/1440</f>
        <v/>
      </c>
      <c r="M10" s="4">
        <f>IF(OR(K10&gt;Varsayımlar!C19*Varsayımlar!C21,L10&gt;Varsayımlar!C20*Varsayımlar!C21),"Limit aşılır","Sığar")</f>
        <v/>
      </c>
    </row>
    <row r="11">
      <c r="A11" s="4" t="n">
        <v>10000</v>
      </c>
      <c r="B11" s="4" t="n">
        <v>1</v>
      </c>
      <c r="C11" s="4">
        <f>A11*B11</f>
        <v/>
      </c>
      <c r="D11" s="9">
        <f>C11*'Fal Başı Ekonomi'!D3</f>
        <v/>
      </c>
      <c r="E11" s="9">
        <f>C11*'Fal Başı Ekonomi'!D13</f>
        <v/>
      </c>
      <c r="F11" s="9">
        <f>E11*30</f>
        <v/>
      </c>
      <c r="G11" s="8">
        <f>F11/Varsayımlar!C3</f>
        <v/>
      </c>
      <c r="H11" s="8">
        <f>C11*'Fal Başı Ekonomi'!C10</f>
        <v/>
      </c>
      <c r="I11" s="12">
        <f>C11*(Varsayımlar!C10+Varsayımlar!C11)</f>
        <v/>
      </c>
      <c r="J11" s="12">
        <f>I11*Varsayımlar!C22</f>
        <v/>
      </c>
      <c r="K11" s="13">
        <f>C11/1440</f>
        <v/>
      </c>
      <c r="L11" s="12">
        <f>J11/1440</f>
        <v/>
      </c>
      <c r="M11" s="4">
        <f>IF(OR(K11&gt;Varsayımlar!C19*Varsayımlar!C21,L11&gt;Varsayımlar!C20*Varsayımlar!C21),"Limit aşılır","Sığar")</f>
        <v/>
      </c>
    </row>
    <row r="12">
      <c r="A12" s="4" t="n">
        <v>10000</v>
      </c>
      <c r="B12" s="4" t="n">
        <v>3</v>
      </c>
      <c r="C12" s="4">
        <f>A12*B12</f>
        <v/>
      </c>
      <c r="D12" s="9">
        <f>C12*'Fal Başı Ekonomi'!D3</f>
        <v/>
      </c>
      <c r="E12" s="9">
        <f>C12*'Fal Başı Ekonomi'!D13</f>
        <v/>
      </c>
      <c r="F12" s="9">
        <f>E12*30</f>
        <v/>
      </c>
      <c r="G12" s="8">
        <f>F12/Varsayımlar!C3</f>
        <v/>
      </c>
      <c r="H12" s="8">
        <f>C12*'Fal Başı Ekonomi'!C10</f>
        <v/>
      </c>
      <c r="I12" s="12">
        <f>C12*(Varsayımlar!C10+Varsayımlar!C11)</f>
        <v/>
      </c>
      <c r="J12" s="12">
        <f>I12*Varsayımlar!C22</f>
        <v/>
      </c>
      <c r="K12" s="13">
        <f>C12/1440</f>
        <v/>
      </c>
      <c r="L12" s="12">
        <f>J12/1440</f>
        <v/>
      </c>
      <c r="M12" s="4">
        <f>IF(OR(K12&gt;Varsayımlar!C19*Varsayımlar!C21,L12&gt;Varsayımlar!C20*Varsayımlar!C21),"Limit aşılır","Sığar")</f>
        <v/>
      </c>
    </row>
    <row r="13">
      <c r="A13" s="4" t="n">
        <v>10000</v>
      </c>
      <c r="B13" s="4" t="n">
        <v>5</v>
      </c>
      <c r="C13" s="4">
        <f>A13*B13</f>
        <v/>
      </c>
      <c r="D13" s="9">
        <f>C13*'Fal Başı Ekonomi'!D3</f>
        <v/>
      </c>
      <c r="E13" s="9">
        <f>C13*'Fal Başı Ekonomi'!D13</f>
        <v/>
      </c>
      <c r="F13" s="9">
        <f>E13*30</f>
        <v/>
      </c>
      <c r="G13" s="8">
        <f>F13/Varsayımlar!C3</f>
        <v/>
      </c>
      <c r="H13" s="8">
        <f>C13*'Fal Başı Ekonomi'!C10</f>
        <v/>
      </c>
      <c r="I13" s="12">
        <f>C13*(Varsayımlar!C10+Varsayımlar!C11)</f>
        <v/>
      </c>
      <c r="J13" s="12">
        <f>I13*Varsayımlar!C22</f>
        <v/>
      </c>
      <c r="K13" s="13">
        <f>C13/1440</f>
        <v/>
      </c>
      <c r="L13" s="12">
        <f>J13/1440</f>
        <v/>
      </c>
      <c r="M13" s="4">
        <f>IF(OR(K13&gt;Varsayımlar!C19*Varsayımlar!C21,L13&gt;Varsayımlar!C20*Varsayımlar!C21),"Limit aşılır","Sığar")</f>
        <v/>
      </c>
    </row>
    <row r="14">
      <c r="A14" s="4" t="n">
        <v>10000</v>
      </c>
      <c r="B14" s="4" t="n">
        <v>10</v>
      </c>
      <c r="C14" s="4">
        <f>A14*B14</f>
        <v/>
      </c>
      <c r="D14" s="9">
        <f>C14*'Fal Başı Ekonomi'!D3</f>
        <v/>
      </c>
      <c r="E14" s="9">
        <f>C14*'Fal Başı Ekonomi'!D13</f>
        <v/>
      </c>
      <c r="F14" s="9">
        <f>E14*30</f>
        <v/>
      </c>
      <c r="G14" s="8">
        <f>F14/Varsayımlar!C3</f>
        <v/>
      </c>
      <c r="H14" s="8">
        <f>C14*'Fal Başı Ekonomi'!C10</f>
        <v/>
      </c>
      <c r="I14" s="12">
        <f>C14*(Varsayımlar!C10+Varsayımlar!C11)</f>
        <v/>
      </c>
      <c r="J14" s="12">
        <f>I14*Varsayımlar!C22</f>
        <v/>
      </c>
      <c r="K14" s="13">
        <f>C14/1440</f>
        <v/>
      </c>
      <c r="L14" s="12">
        <f>J14/1440</f>
        <v/>
      </c>
      <c r="M14" s="4">
        <f>IF(OR(K14&gt;Varsayımlar!C19*Varsayımlar!C21,L14&gt;Varsayımlar!C20*Varsayımlar!C21),"Limit aşılır","Sığar")</f>
        <v/>
      </c>
    </row>
    <row r="15">
      <c r="A15" s="4" t="n">
        <v>25000</v>
      </c>
      <c r="B15" s="4" t="n">
        <v>1</v>
      </c>
      <c r="C15" s="4">
        <f>A15*B15</f>
        <v/>
      </c>
      <c r="D15" s="9">
        <f>C15*'Fal Başı Ekonomi'!D3</f>
        <v/>
      </c>
      <c r="E15" s="9">
        <f>C15*'Fal Başı Ekonomi'!D13</f>
        <v/>
      </c>
      <c r="F15" s="9">
        <f>E15*30</f>
        <v/>
      </c>
      <c r="G15" s="8">
        <f>F15/Varsayımlar!C3</f>
        <v/>
      </c>
      <c r="H15" s="8">
        <f>C15*'Fal Başı Ekonomi'!C10</f>
        <v/>
      </c>
      <c r="I15" s="12">
        <f>C15*(Varsayımlar!C10+Varsayımlar!C11)</f>
        <v/>
      </c>
      <c r="J15" s="12">
        <f>I15*Varsayımlar!C22</f>
        <v/>
      </c>
      <c r="K15" s="13">
        <f>C15/1440</f>
        <v/>
      </c>
      <c r="L15" s="12">
        <f>J15/1440</f>
        <v/>
      </c>
      <c r="M15" s="4">
        <f>IF(OR(K15&gt;Varsayımlar!C19*Varsayımlar!C21,L15&gt;Varsayımlar!C20*Varsayımlar!C21),"Limit aşılır","Sığar")</f>
        <v/>
      </c>
    </row>
    <row r="16">
      <c r="A16" s="4" t="n">
        <v>25000</v>
      </c>
      <c r="B16" s="4" t="n">
        <v>3</v>
      </c>
      <c r="C16" s="4">
        <f>A16*B16</f>
        <v/>
      </c>
      <c r="D16" s="9">
        <f>C16*'Fal Başı Ekonomi'!D3</f>
        <v/>
      </c>
      <c r="E16" s="9">
        <f>C16*'Fal Başı Ekonomi'!D13</f>
        <v/>
      </c>
      <c r="F16" s="9">
        <f>E16*30</f>
        <v/>
      </c>
      <c r="G16" s="8">
        <f>F16/Varsayımlar!C3</f>
        <v/>
      </c>
      <c r="H16" s="8">
        <f>C16*'Fal Başı Ekonomi'!C10</f>
        <v/>
      </c>
      <c r="I16" s="12">
        <f>C16*(Varsayımlar!C10+Varsayımlar!C11)</f>
        <v/>
      </c>
      <c r="J16" s="12">
        <f>I16*Varsayımlar!C22</f>
        <v/>
      </c>
      <c r="K16" s="13">
        <f>C16/1440</f>
        <v/>
      </c>
      <c r="L16" s="12">
        <f>J16/1440</f>
        <v/>
      </c>
      <c r="M16" s="4">
        <f>IF(OR(K16&gt;Varsayımlar!C19*Varsayımlar!C21,L16&gt;Varsayımlar!C20*Varsayımlar!C21),"Limit aşılır","Sığar")</f>
        <v/>
      </c>
    </row>
    <row r="17">
      <c r="A17" s="4" t="n">
        <v>25000</v>
      </c>
      <c r="B17" s="4" t="n">
        <v>5</v>
      </c>
      <c r="C17" s="4">
        <f>A17*B17</f>
        <v/>
      </c>
      <c r="D17" s="9">
        <f>C17*'Fal Başı Ekonomi'!D3</f>
        <v/>
      </c>
      <c r="E17" s="9">
        <f>C17*'Fal Başı Ekonomi'!D13</f>
        <v/>
      </c>
      <c r="F17" s="9">
        <f>E17*30</f>
        <v/>
      </c>
      <c r="G17" s="8">
        <f>F17/Varsayımlar!C3</f>
        <v/>
      </c>
      <c r="H17" s="8">
        <f>C17*'Fal Başı Ekonomi'!C10</f>
        <v/>
      </c>
      <c r="I17" s="12">
        <f>C17*(Varsayımlar!C10+Varsayımlar!C11)</f>
        <v/>
      </c>
      <c r="J17" s="12">
        <f>I17*Varsayımlar!C22</f>
        <v/>
      </c>
      <c r="K17" s="13">
        <f>C17/1440</f>
        <v/>
      </c>
      <c r="L17" s="12">
        <f>J17/1440</f>
        <v/>
      </c>
      <c r="M17" s="4">
        <f>IF(OR(K17&gt;Varsayımlar!C19*Varsayımlar!C21,L17&gt;Varsayımlar!C20*Varsayımlar!C21),"Limit aşılır","Sığar")</f>
        <v/>
      </c>
    </row>
    <row r="18">
      <c r="A18" s="4" t="n">
        <v>25000</v>
      </c>
      <c r="B18" s="4" t="n">
        <v>10</v>
      </c>
      <c r="C18" s="4">
        <f>A18*B18</f>
        <v/>
      </c>
      <c r="D18" s="9">
        <f>C18*'Fal Başı Ekonomi'!D3</f>
        <v/>
      </c>
      <c r="E18" s="9">
        <f>C18*'Fal Başı Ekonomi'!D13</f>
        <v/>
      </c>
      <c r="F18" s="9">
        <f>E18*30</f>
        <v/>
      </c>
      <c r="G18" s="8">
        <f>F18/Varsayımlar!C3</f>
        <v/>
      </c>
      <c r="H18" s="8">
        <f>C18*'Fal Başı Ekonomi'!C10</f>
        <v/>
      </c>
      <c r="I18" s="12">
        <f>C18*(Varsayımlar!C10+Varsayımlar!C11)</f>
        <v/>
      </c>
      <c r="J18" s="12">
        <f>I18*Varsayımlar!C22</f>
        <v/>
      </c>
      <c r="K18" s="13">
        <f>C18/1440</f>
        <v/>
      </c>
      <c r="L18" s="12">
        <f>J18/1440</f>
        <v/>
      </c>
      <c r="M18" s="4">
        <f>IF(OR(K18&gt;Varsayımlar!C19*Varsayımlar!C21,L18&gt;Varsayımlar!C20*Varsayımlar!C21),"Limit aşılır","Sığar")</f>
        <v/>
      </c>
    </row>
    <row r="19">
      <c r="A19" s="4" t="n">
        <v>50000</v>
      </c>
      <c r="B19" s="4" t="n">
        <v>1</v>
      </c>
      <c r="C19" s="4">
        <f>A19*B19</f>
        <v/>
      </c>
      <c r="D19" s="9">
        <f>C19*'Fal Başı Ekonomi'!D3</f>
        <v/>
      </c>
      <c r="E19" s="9">
        <f>C19*'Fal Başı Ekonomi'!D13</f>
        <v/>
      </c>
      <c r="F19" s="9">
        <f>E19*30</f>
        <v/>
      </c>
      <c r="G19" s="8">
        <f>F19/Varsayımlar!C3</f>
        <v/>
      </c>
      <c r="H19" s="8">
        <f>C19*'Fal Başı Ekonomi'!C10</f>
        <v/>
      </c>
      <c r="I19" s="12">
        <f>C19*(Varsayımlar!C10+Varsayımlar!C11)</f>
        <v/>
      </c>
      <c r="J19" s="12">
        <f>I19*Varsayımlar!C22</f>
        <v/>
      </c>
      <c r="K19" s="13">
        <f>C19/1440</f>
        <v/>
      </c>
      <c r="L19" s="12">
        <f>J19/1440</f>
        <v/>
      </c>
      <c r="M19" s="4">
        <f>IF(OR(K19&gt;Varsayımlar!C19*Varsayımlar!C21,L19&gt;Varsayımlar!C20*Varsayımlar!C21),"Limit aşılır","Sığar")</f>
        <v/>
      </c>
    </row>
    <row r="20">
      <c r="A20" s="4" t="n">
        <v>50000</v>
      </c>
      <c r="B20" s="4" t="n">
        <v>3</v>
      </c>
      <c r="C20" s="4">
        <f>A20*B20</f>
        <v/>
      </c>
      <c r="D20" s="9">
        <f>C20*'Fal Başı Ekonomi'!D3</f>
        <v/>
      </c>
      <c r="E20" s="9">
        <f>C20*'Fal Başı Ekonomi'!D13</f>
        <v/>
      </c>
      <c r="F20" s="9">
        <f>E20*30</f>
        <v/>
      </c>
      <c r="G20" s="8">
        <f>F20/Varsayımlar!C3</f>
        <v/>
      </c>
      <c r="H20" s="8">
        <f>C20*'Fal Başı Ekonomi'!C10</f>
        <v/>
      </c>
      <c r="I20" s="12">
        <f>C20*(Varsayımlar!C10+Varsayımlar!C11)</f>
        <v/>
      </c>
      <c r="J20" s="12">
        <f>I20*Varsayımlar!C22</f>
        <v/>
      </c>
      <c r="K20" s="13">
        <f>C20/1440</f>
        <v/>
      </c>
      <c r="L20" s="12">
        <f>J20/1440</f>
        <v/>
      </c>
      <c r="M20" s="4">
        <f>IF(OR(K20&gt;Varsayımlar!C19*Varsayımlar!C21,L20&gt;Varsayımlar!C20*Varsayımlar!C21),"Limit aşılır","Sığar")</f>
        <v/>
      </c>
    </row>
    <row r="21">
      <c r="A21" s="4" t="n">
        <v>50000</v>
      </c>
      <c r="B21" s="4" t="n">
        <v>5</v>
      </c>
      <c r="C21" s="4">
        <f>A21*B21</f>
        <v/>
      </c>
      <c r="D21" s="9">
        <f>C21*'Fal Başı Ekonomi'!D3</f>
        <v/>
      </c>
      <c r="E21" s="9">
        <f>C21*'Fal Başı Ekonomi'!D13</f>
        <v/>
      </c>
      <c r="F21" s="9">
        <f>E21*30</f>
        <v/>
      </c>
      <c r="G21" s="8">
        <f>F21/Varsayımlar!C3</f>
        <v/>
      </c>
      <c r="H21" s="8">
        <f>C21*'Fal Başı Ekonomi'!C10</f>
        <v/>
      </c>
      <c r="I21" s="12">
        <f>C21*(Varsayımlar!C10+Varsayımlar!C11)</f>
        <v/>
      </c>
      <c r="J21" s="12">
        <f>I21*Varsayımlar!C22</f>
        <v/>
      </c>
      <c r="K21" s="13">
        <f>C21/1440</f>
        <v/>
      </c>
      <c r="L21" s="12">
        <f>J21/1440</f>
        <v/>
      </c>
      <c r="M21" s="4">
        <f>IF(OR(K21&gt;Varsayımlar!C19*Varsayımlar!C21,L21&gt;Varsayımlar!C20*Varsayımlar!C21),"Limit aşılır","Sığar")</f>
        <v/>
      </c>
    </row>
    <row r="22">
      <c r="A22" s="4" t="n">
        <v>50000</v>
      </c>
      <c r="B22" s="4" t="n">
        <v>10</v>
      </c>
      <c r="C22" s="4">
        <f>A22*B22</f>
        <v/>
      </c>
      <c r="D22" s="9">
        <f>C22*'Fal Başı Ekonomi'!D3</f>
        <v/>
      </c>
      <c r="E22" s="9">
        <f>C22*'Fal Başı Ekonomi'!D13</f>
        <v/>
      </c>
      <c r="F22" s="9">
        <f>E22*30</f>
        <v/>
      </c>
      <c r="G22" s="8">
        <f>F22/Varsayımlar!C3</f>
        <v/>
      </c>
      <c r="H22" s="8">
        <f>C22*'Fal Başı Ekonomi'!C10</f>
        <v/>
      </c>
      <c r="I22" s="12">
        <f>C22*(Varsayımlar!C10+Varsayımlar!C11)</f>
        <v/>
      </c>
      <c r="J22" s="12">
        <f>I22*Varsayımlar!C22</f>
        <v/>
      </c>
      <c r="K22" s="13">
        <f>C22/1440</f>
        <v/>
      </c>
      <c r="L22" s="12">
        <f>J22/1440</f>
        <v/>
      </c>
      <c r="M22" s="4">
        <f>IF(OR(K22&gt;Varsayımlar!C19*Varsayımlar!C21,L22&gt;Varsayımlar!C20*Varsayımlar!C21),"Limit aşılır","Sığar")</f>
        <v/>
      </c>
    </row>
    <row r="23">
      <c r="A23" s="4" t="n">
        <v>75000</v>
      </c>
      <c r="B23" s="4" t="n">
        <v>1</v>
      </c>
      <c r="C23" s="4">
        <f>A23*B23</f>
        <v/>
      </c>
      <c r="D23" s="9">
        <f>C23*'Fal Başı Ekonomi'!D3</f>
        <v/>
      </c>
      <c r="E23" s="9">
        <f>C23*'Fal Başı Ekonomi'!D13</f>
        <v/>
      </c>
      <c r="F23" s="9">
        <f>E23*30</f>
        <v/>
      </c>
      <c r="G23" s="8">
        <f>F23/Varsayımlar!C3</f>
        <v/>
      </c>
      <c r="H23" s="8">
        <f>C23*'Fal Başı Ekonomi'!C10</f>
        <v/>
      </c>
      <c r="I23" s="12">
        <f>C23*(Varsayımlar!C10+Varsayımlar!C11)</f>
        <v/>
      </c>
      <c r="J23" s="12">
        <f>I23*Varsayımlar!C22</f>
        <v/>
      </c>
      <c r="K23" s="13">
        <f>C23/1440</f>
        <v/>
      </c>
      <c r="L23" s="12">
        <f>J23/1440</f>
        <v/>
      </c>
      <c r="M23" s="4">
        <f>IF(OR(K23&gt;Varsayımlar!C19*Varsayımlar!C21,L23&gt;Varsayımlar!C20*Varsayımlar!C21),"Limit aşılır","Sığar")</f>
        <v/>
      </c>
    </row>
    <row r="24">
      <c r="A24" s="4" t="n">
        <v>75000</v>
      </c>
      <c r="B24" s="4" t="n">
        <v>3</v>
      </c>
      <c r="C24" s="4">
        <f>A24*B24</f>
        <v/>
      </c>
      <c r="D24" s="9">
        <f>C24*'Fal Başı Ekonomi'!D3</f>
        <v/>
      </c>
      <c r="E24" s="9">
        <f>C24*'Fal Başı Ekonomi'!D13</f>
        <v/>
      </c>
      <c r="F24" s="9">
        <f>E24*30</f>
        <v/>
      </c>
      <c r="G24" s="8">
        <f>F24/Varsayımlar!C3</f>
        <v/>
      </c>
      <c r="H24" s="8">
        <f>C24*'Fal Başı Ekonomi'!C10</f>
        <v/>
      </c>
      <c r="I24" s="12">
        <f>C24*(Varsayımlar!C10+Varsayımlar!C11)</f>
        <v/>
      </c>
      <c r="J24" s="12">
        <f>I24*Varsayımlar!C22</f>
        <v/>
      </c>
      <c r="K24" s="13">
        <f>C24/1440</f>
        <v/>
      </c>
      <c r="L24" s="12">
        <f>J24/1440</f>
        <v/>
      </c>
      <c r="M24" s="4">
        <f>IF(OR(K24&gt;Varsayımlar!C19*Varsayımlar!C21,L24&gt;Varsayımlar!C20*Varsayımlar!C21),"Limit aşılır","Sığar")</f>
        <v/>
      </c>
    </row>
    <row r="25">
      <c r="A25" s="4" t="n">
        <v>75000</v>
      </c>
      <c r="B25" s="4" t="n">
        <v>5</v>
      </c>
      <c r="C25" s="4">
        <f>A25*B25</f>
        <v/>
      </c>
      <c r="D25" s="9">
        <f>C25*'Fal Başı Ekonomi'!D3</f>
        <v/>
      </c>
      <c r="E25" s="9">
        <f>C25*'Fal Başı Ekonomi'!D13</f>
        <v/>
      </c>
      <c r="F25" s="9">
        <f>E25*30</f>
        <v/>
      </c>
      <c r="G25" s="8">
        <f>F25/Varsayımlar!C3</f>
        <v/>
      </c>
      <c r="H25" s="8">
        <f>C25*'Fal Başı Ekonomi'!C10</f>
        <v/>
      </c>
      <c r="I25" s="12">
        <f>C25*(Varsayımlar!C10+Varsayımlar!C11)</f>
        <v/>
      </c>
      <c r="J25" s="12">
        <f>I25*Varsayımlar!C22</f>
        <v/>
      </c>
      <c r="K25" s="13">
        <f>C25/1440</f>
        <v/>
      </c>
      <c r="L25" s="12">
        <f>J25/1440</f>
        <v/>
      </c>
      <c r="M25" s="4">
        <f>IF(OR(K25&gt;Varsayımlar!C19*Varsayımlar!C21,L25&gt;Varsayımlar!C20*Varsayımlar!C21),"Limit aşılır","Sığar")</f>
        <v/>
      </c>
    </row>
    <row r="26">
      <c r="A26" s="4" t="n">
        <v>75000</v>
      </c>
      <c r="B26" s="4" t="n">
        <v>10</v>
      </c>
      <c r="C26" s="4">
        <f>A26*B26</f>
        <v/>
      </c>
      <c r="D26" s="9">
        <f>C26*'Fal Başı Ekonomi'!D3</f>
        <v/>
      </c>
      <c r="E26" s="9">
        <f>C26*'Fal Başı Ekonomi'!D13</f>
        <v/>
      </c>
      <c r="F26" s="9">
        <f>E26*30</f>
        <v/>
      </c>
      <c r="G26" s="8">
        <f>F26/Varsayımlar!C3</f>
        <v/>
      </c>
      <c r="H26" s="8">
        <f>C26*'Fal Başı Ekonomi'!C10</f>
        <v/>
      </c>
      <c r="I26" s="12">
        <f>C26*(Varsayımlar!C10+Varsayımlar!C11)</f>
        <v/>
      </c>
      <c r="J26" s="12">
        <f>I26*Varsayımlar!C22</f>
        <v/>
      </c>
      <c r="K26" s="13">
        <f>C26/1440</f>
        <v/>
      </c>
      <c r="L26" s="12">
        <f>J26/1440</f>
        <v/>
      </c>
      <c r="M26" s="4">
        <f>IF(OR(K26&gt;Varsayımlar!C19*Varsayımlar!C21,L26&gt;Varsayımlar!C20*Varsayımlar!C21),"Limit aşılır","Sığar")</f>
        <v/>
      </c>
    </row>
    <row r="27">
      <c r="A27" s="4" t="n">
        <v>100000</v>
      </c>
      <c r="B27" s="4" t="n">
        <v>1</v>
      </c>
      <c r="C27" s="4">
        <f>A27*B27</f>
        <v/>
      </c>
      <c r="D27" s="9">
        <f>C27*'Fal Başı Ekonomi'!D3</f>
        <v/>
      </c>
      <c r="E27" s="9">
        <f>C27*'Fal Başı Ekonomi'!D13</f>
        <v/>
      </c>
      <c r="F27" s="9">
        <f>E27*30</f>
        <v/>
      </c>
      <c r="G27" s="8">
        <f>F27/Varsayımlar!C3</f>
        <v/>
      </c>
      <c r="H27" s="8">
        <f>C27*'Fal Başı Ekonomi'!C10</f>
        <v/>
      </c>
      <c r="I27" s="12">
        <f>C27*(Varsayımlar!C10+Varsayımlar!C11)</f>
        <v/>
      </c>
      <c r="J27" s="12">
        <f>I27*Varsayımlar!C22</f>
        <v/>
      </c>
      <c r="K27" s="13">
        <f>C27/1440</f>
        <v/>
      </c>
      <c r="L27" s="12">
        <f>J27/1440</f>
        <v/>
      </c>
      <c r="M27" s="4">
        <f>IF(OR(K27&gt;Varsayımlar!C19*Varsayımlar!C21,L27&gt;Varsayımlar!C20*Varsayımlar!C21),"Limit aşılır","Sığar")</f>
        <v/>
      </c>
    </row>
    <row r="28">
      <c r="A28" s="4" t="n">
        <v>100000</v>
      </c>
      <c r="B28" s="4" t="n">
        <v>3</v>
      </c>
      <c r="C28" s="4">
        <f>A28*B28</f>
        <v/>
      </c>
      <c r="D28" s="9">
        <f>C28*'Fal Başı Ekonomi'!D3</f>
        <v/>
      </c>
      <c r="E28" s="9">
        <f>C28*'Fal Başı Ekonomi'!D13</f>
        <v/>
      </c>
      <c r="F28" s="9">
        <f>E28*30</f>
        <v/>
      </c>
      <c r="G28" s="8">
        <f>F28/Varsayımlar!C3</f>
        <v/>
      </c>
      <c r="H28" s="8">
        <f>C28*'Fal Başı Ekonomi'!C10</f>
        <v/>
      </c>
      <c r="I28" s="12">
        <f>C28*(Varsayımlar!C10+Varsayımlar!C11)</f>
        <v/>
      </c>
      <c r="J28" s="12">
        <f>I28*Varsayımlar!C22</f>
        <v/>
      </c>
      <c r="K28" s="13">
        <f>C28/1440</f>
        <v/>
      </c>
      <c r="L28" s="12">
        <f>J28/1440</f>
        <v/>
      </c>
      <c r="M28" s="4">
        <f>IF(OR(K28&gt;Varsayımlar!C19*Varsayımlar!C21,L28&gt;Varsayımlar!C20*Varsayımlar!C21),"Limit aşılır","Sığar")</f>
        <v/>
      </c>
    </row>
    <row r="29">
      <c r="A29" s="4" t="n">
        <v>100000</v>
      </c>
      <c r="B29" s="4" t="n">
        <v>5</v>
      </c>
      <c r="C29" s="4">
        <f>A29*B29</f>
        <v/>
      </c>
      <c r="D29" s="9">
        <f>C29*'Fal Başı Ekonomi'!D3</f>
        <v/>
      </c>
      <c r="E29" s="9">
        <f>C29*'Fal Başı Ekonomi'!D13</f>
        <v/>
      </c>
      <c r="F29" s="9">
        <f>E29*30</f>
        <v/>
      </c>
      <c r="G29" s="8">
        <f>F29/Varsayımlar!C3</f>
        <v/>
      </c>
      <c r="H29" s="8">
        <f>C29*'Fal Başı Ekonomi'!C10</f>
        <v/>
      </c>
      <c r="I29" s="12">
        <f>C29*(Varsayımlar!C10+Varsayımlar!C11)</f>
        <v/>
      </c>
      <c r="J29" s="12">
        <f>I29*Varsayımlar!C22</f>
        <v/>
      </c>
      <c r="K29" s="13">
        <f>C29/1440</f>
        <v/>
      </c>
      <c r="L29" s="12">
        <f>J29/1440</f>
        <v/>
      </c>
      <c r="M29" s="4">
        <f>IF(OR(K29&gt;Varsayımlar!C19*Varsayımlar!C21,L29&gt;Varsayımlar!C20*Varsayımlar!C21),"Limit aşılır","Sığar")</f>
        <v/>
      </c>
    </row>
    <row r="30">
      <c r="A30" s="4" t="n">
        <v>100000</v>
      </c>
      <c r="B30" s="4" t="n">
        <v>10</v>
      </c>
      <c r="C30" s="4">
        <f>A30*B30</f>
        <v/>
      </c>
      <c r="D30" s="9">
        <f>C30*'Fal Başı Ekonomi'!D3</f>
        <v/>
      </c>
      <c r="E30" s="9">
        <f>C30*'Fal Başı Ekonomi'!D13</f>
        <v/>
      </c>
      <c r="F30" s="9">
        <f>E30*30</f>
        <v/>
      </c>
      <c r="G30" s="8">
        <f>F30/Varsayımlar!C3</f>
        <v/>
      </c>
      <c r="H30" s="8">
        <f>C30*'Fal Başı Ekonomi'!C10</f>
        <v/>
      </c>
      <c r="I30" s="12">
        <f>C30*(Varsayımlar!C10+Varsayımlar!C11)</f>
        <v/>
      </c>
      <c r="J30" s="12">
        <f>I30*Varsayımlar!C22</f>
        <v/>
      </c>
      <c r="K30" s="13">
        <f>C30/1440</f>
        <v/>
      </c>
      <c r="L30" s="12">
        <f>J30/1440</f>
        <v/>
      </c>
      <c r="M30" s="4">
        <f>IF(OR(K30&gt;Varsayımlar!C19*Varsayımlar!C21,L30&gt;Varsayımlar!C20*Varsayımlar!C21),"Limit aşılır","Sığar")</f>
        <v/>
      </c>
    </row>
  </sheetData>
  <autoFilter ref="A2:M30"/>
  <mergeCells count="1">
    <mergeCell ref="A1:M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D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58" customWidth="1" min="4" max="4"/>
  </cols>
  <sheetData>
    <row r="1">
      <c r="A1" s="1" t="inlineStr">
        <is>
          <t>Gemini Rate Limit Kapasite Kontrolü</t>
        </is>
      </c>
      <c r="B1" s="2" t="n"/>
      <c r="C1" s="2" t="n"/>
      <c r="D1" s="2" t="n"/>
    </row>
    <row r="2">
      <c r="A2" s="3" t="inlineStr">
        <is>
          <t>Kalem</t>
        </is>
      </c>
      <c r="B2" s="3" t="inlineStr">
        <is>
          <t>Değer</t>
        </is>
      </c>
      <c r="C2" s="3" t="inlineStr">
        <is>
          <t>Birim</t>
        </is>
      </c>
      <c r="D2" s="3" t="inlineStr">
        <is>
          <t>Formül/Not</t>
        </is>
      </c>
    </row>
    <row r="3">
      <c r="A3" s="4" t="inlineStr">
        <is>
          <t>Raw token / fal</t>
        </is>
      </c>
      <c r="B3" s="14">
        <f>Varsayımlar!C10+Varsayımlar!C11</f>
        <v/>
      </c>
      <c r="C3" s="4" t="inlineStr">
        <is>
          <t>token</t>
        </is>
      </c>
      <c r="D3" s="4" t="inlineStr">
        <is>
          <t>Input + output</t>
        </is>
      </c>
    </row>
    <row r="4">
      <c r="A4" s="4" t="inlineStr">
        <is>
          <t>Efektif token / fal</t>
        </is>
      </c>
      <c r="B4" s="14">
        <f>B3*Varsayımlar!C22</f>
        <v/>
      </c>
      <c r="C4" s="4" t="inlineStr">
        <is>
          <t>token</t>
        </is>
      </c>
      <c r="D4" s="4" t="inlineStr">
        <is>
          <t>Rate-limit için 2x</t>
        </is>
      </c>
    </row>
    <row r="5">
      <c r="A5" s="4" t="inlineStr">
        <is>
          <t>Güvenli RPM</t>
        </is>
      </c>
      <c r="B5" s="14">
        <f>Varsayımlar!C19*Varsayımlar!C21</f>
        <v/>
      </c>
      <c r="C5" s="4" t="inlineStr">
        <is>
          <t>request/dk</t>
        </is>
      </c>
      <c r="D5" s="4" t="inlineStr">
        <is>
          <t>%85 eşik</t>
        </is>
      </c>
    </row>
    <row r="6">
      <c r="A6" s="4" t="inlineStr">
        <is>
          <t>Güvenli efektif TPM</t>
        </is>
      </c>
      <c r="B6" s="14">
        <f>Varsayımlar!C20*Varsayımlar!C21</f>
        <v/>
      </c>
      <c r="C6" s="4" t="inlineStr">
        <is>
          <t>token/dk</t>
        </is>
      </c>
      <c r="D6" s="4" t="inlineStr">
        <is>
          <t>%85 eşik</t>
        </is>
      </c>
    </row>
    <row r="7">
      <c r="A7" s="4" t="inlineStr">
        <is>
          <t>TPM'e göre max fal/dk</t>
        </is>
      </c>
      <c r="B7" s="14">
        <f>B6/B4</f>
        <v/>
      </c>
      <c r="C7" s="4" t="inlineStr">
        <is>
          <t>fal/dk</t>
        </is>
      </c>
      <c r="D7" s="4" t="inlineStr">
        <is>
          <t>Token limitinden gelen tavan</t>
        </is>
      </c>
    </row>
    <row r="8">
      <c r="A8" s="4" t="inlineStr">
        <is>
          <t>RPM'e göre max fal/dk</t>
        </is>
      </c>
      <c r="B8" s="14">
        <f>B5</f>
        <v/>
      </c>
      <c r="C8" s="4" t="inlineStr">
        <is>
          <t>fal/dk</t>
        </is>
      </c>
      <c r="D8" s="4" t="inlineStr">
        <is>
          <t>Request limitinden gelen tavan</t>
        </is>
      </c>
    </row>
    <row r="9">
      <c r="A9" s="4" t="inlineStr">
        <is>
          <t>Gerçek max fal/dk</t>
        </is>
      </c>
      <c r="B9" s="14">
        <f>MIN(B7,B8)</f>
        <v/>
      </c>
      <c r="C9" s="4" t="inlineStr">
        <is>
          <t>fal/dk</t>
        </is>
      </c>
      <c r="D9" s="4" t="inlineStr">
        <is>
          <t>Dar boğaz</t>
        </is>
      </c>
    </row>
    <row r="10">
      <c r="A10" s="4" t="inlineStr">
        <is>
          <t>Gerçek max fal/gün</t>
        </is>
      </c>
      <c r="B10" s="14">
        <f>B9*1440</f>
        <v/>
      </c>
      <c r="C10" s="4" t="inlineStr">
        <is>
          <t>fal/gün</t>
        </is>
      </c>
      <c r="D10" s="4" t="inlineStr">
        <is>
          <t>Tek limit seti için</t>
        </is>
      </c>
    </row>
    <row r="11">
      <c r="A11" s="4" t="inlineStr">
        <is>
          <t>100K DAU x 10 fal/gün</t>
        </is>
      </c>
      <c r="B11" s="14">
        <f>100000*10</f>
        <v/>
      </c>
      <c r="C11" s="4" t="inlineStr">
        <is>
          <t>fal/gün</t>
        </is>
      </c>
      <c r="D11" s="4" t="inlineStr">
        <is>
          <t>İstenen üst senaryo</t>
        </is>
      </c>
    </row>
    <row r="12">
      <c r="A12" s="15" t="inlineStr">
        <is>
          <t>Gereken kapasite çarpanı</t>
        </is>
      </c>
      <c r="B12" s="14">
        <f>B11/B10</f>
        <v/>
      </c>
      <c r="C12" s="4" t="inlineStr">
        <is>
          <t>x</t>
        </is>
      </c>
      <c r="D12" s="4" t="inlineStr">
        <is>
          <t>Kaç kat limit/proje/model kapasitesi gerekir</t>
        </is>
      </c>
    </row>
  </sheetData>
  <autoFilter ref="A2:D12"/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G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Kur ve Kredi Fiyatı Hassasiyeti - Fal Başına Net Kâr TL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Kur / Kredi TL</t>
        </is>
      </c>
      <c r="B2" s="3" t="n">
        <v>2.5</v>
      </c>
      <c r="C2" s="3" t="n">
        <v>3</v>
      </c>
      <c r="D2" s="3" t="n">
        <v>3.5</v>
      </c>
      <c r="E2" s="3" t="n">
        <v>4</v>
      </c>
      <c r="F2" s="3" t="n">
        <v>4.5</v>
      </c>
      <c r="G2" s="3" t="n">
        <v>5</v>
      </c>
    </row>
    <row r="3">
      <c r="A3" s="14" t="n">
        <v>45.25</v>
      </c>
      <c r="B3" s="9" t="n">
        <v>9.23</v>
      </c>
      <c r="C3" s="9" t="n">
        <v>11.27</v>
      </c>
      <c r="D3" s="9" t="n">
        <v>13.31</v>
      </c>
      <c r="E3" s="9" t="n">
        <v>15.35</v>
      </c>
      <c r="F3" s="9" t="n">
        <v>17.4</v>
      </c>
      <c r="G3" s="9" t="n">
        <v>19.44</v>
      </c>
    </row>
    <row r="4">
      <c r="A4" s="14" t="n">
        <v>50</v>
      </c>
      <c r="B4" s="9" t="n">
        <v>9.130000000000001</v>
      </c>
      <c r="C4" s="9" t="n">
        <v>11.17</v>
      </c>
      <c r="D4" s="9" t="n">
        <v>13.21</v>
      </c>
      <c r="E4" s="9" t="n">
        <v>15.25</v>
      </c>
      <c r="F4" s="9" t="n">
        <v>17.29</v>
      </c>
      <c r="G4" s="9" t="n">
        <v>19.33</v>
      </c>
    </row>
    <row r="5">
      <c r="A5" s="14" t="n">
        <v>60</v>
      </c>
      <c r="B5" s="9" t="n">
        <v>8.91</v>
      </c>
      <c r="C5" s="9" t="n">
        <v>10.95</v>
      </c>
      <c r="D5" s="9" t="n">
        <v>12.99</v>
      </c>
      <c r="E5" s="9" t="n">
        <v>15.04</v>
      </c>
      <c r="F5" s="9" t="n">
        <v>17.08</v>
      </c>
      <c r="G5" s="9" t="n">
        <v>19.12</v>
      </c>
    </row>
    <row r="6">
      <c r="A6" s="14" t="n">
        <v>70</v>
      </c>
      <c r="B6" s="9" t="n">
        <v>8.69</v>
      </c>
      <c r="C6" s="9" t="n">
        <v>10.74</v>
      </c>
      <c r="D6" s="9" t="n">
        <v>12.78</v>
      </c>
      <c r="E6" s="9" t="n">
        <v>14.82</v>
      </c>
      <c r="F6" s="9" t="n">
        <v>16.86</v>
      </c>
      <c r="G6" s="9" t="n">
        <v>18.9</v>
      </c>
    </row>
    <row r="7">
      <c r="A7" s="14" t="n">
        <v>80</v>
      </c>
      <c r="B7" s="9" t="n">
        <v>8.48</v>
      </c>
      <c r="C7" s="9" t="n">
        <v>10.52</v>
      </c>
      <c r="D7" s="9" t="n">
        <v>12.56</v>
      </c>
      <c r="E7" s="9" t="n">
        <v>14.6</v>
      </c>
      <c r="F7" s="9" t="n">
        <v>16.64</v>
      </c>
      <c r="G7" s="9" t="n">
        <v>18.69</v>
      </c>
    </row>
    <row r="8">
      <c r="A8" s="14" t="n">
        <v>90</v>
      </c>
      <c r="B8" s="9" t="n">
        <v>8.26</v>
      </c>
      <c r="C8" s="9" t="n">
        <v>10.3</v>
      </c>
      <c r="D8" s="9" t="n">
        <v>12.34</v>
      </c>
      <c r="E8" s="9" t="n">
        <v>14.39</v>
      </c>
      <c r="F8" s="9" t="n">
        <v>16.43</v>
      </c>
      <c r="G8" s="9" t="n">
        <v>18.47</v>
      </c>
    </row>
    <row r="9">
      <c r="A9" s="14" t="n">
        <v>100</v>
      </c>
      <c r="B9" s="9" t="n">
        <v>8.039999999999999</v>
      </c>
      <c r="C9" s="9" t="n">
        <v>10.09</v>
      </c>
      <c r="D9" s="9" t="n">
        <v>12.13</v>
      </c>
      <c r="E9" s="9" t="n">
        <v>14.17</v>
      </c>
      <c r="F9" s="9" t="n">
        <v>16.21</v>
      </c>
      <c r="G9" s="9" t="n">
        <v>18.25</v>
      </c>
    </row>
  </sheetData>
  <autoFilter ref="A2:G9"/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B9BD5"/>
    <outlinePr summaryBelow="1" summaryRight="1"/>
    <pageSetUpPr/>
  </sheetPr>
  <dimension ref="A1:D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36" customWidth="1" min="3" max="3"/>
    <col width="42" customWidth="1" min="4" max="4"/>
  </cols>
  <sheetData>
    <row r="1">
      <c r="A1" s="1" t="inlineStr">
        <is>
          <t>Kullanıcı Harcama Dashboard'u İçin İzlenecek Veriler</t>
        </is>
      </c>
      <c r="B1" s="2" t="n"/>
      <c r="C1" s="2" t="n"/>
      <c r="D1" s="2" t="n"/>
    </row>
    <row r="2">
      <c r="A2" s="3" t="inlineStr">
        <is>
          <t>Alan</t>
        </is>
      </c>
      <c r="B2" s="3" t="inlineStr">
        <is>
          <t>Ne gösterir</t>
        </is>
      </c>
      <c r="C2" s="3" t="inlineStr">
        <is>
          <t>Kullanıcı faydası</t>
        </is>
      </c>
      <c r="D2" s="3" t="inlineStr">
        <is>
          <t>İş faydası</t>
        </is>
      </c>
    </row>
    <row r="3">
      <c r="A3" s="4" t="inlineStr">
        <is>
          <t>Kalan kredi</t>
        </is>
      </c>
      <c r="B3" s="4" t="inlineStr">
        <is>
          <t>Satın alınan + bonus ayrımı</t>
        </is>
      </c>
      <c r="C3" s="4" t="inlineStr">
        <is>
          <t>Bütçe kontrolü</t>
        </is>
      </c>
      <c r="D3" s="4" t="inlineStr">
        <is>
          <t>Kredi ekonomisi şeffaflaşır</t>
        </is>
      </c>
    </row>
    <row r="4">
      <c r="A4" s="4" t="inlineStr">
        <is>
          <t>Aylık harcama</t>
        </is>
      </c>
      <c r="B4" s="4" t="inlineStr">
        <is>
          <t>Bu ay harcanan kredi ve TL karşılığı</t>
        </is>
      </c>
      <c r="C4" s="4" t="inlineStr">
        <is>
          <t>Ne harcadığını görür</t>
        </is>
      </c>
      <c r="D4" s="4" t="inlineStr">
        <is>
          <t>Fiyat hassasiyeti ölçülür</t>
        </is>
      </c>
    </row>
    <row r="5">
      <c r="A5" s="4" t="inlineStr">
        <is>
          <t>Fal türü dağılımı</t>
        </is>
      </c>
      <c r="B5" s="4" t="inlineStr">
        <is>
          <t>Tarot, kahve, astro, rüya vb.</t>
        </is>
      </c>
      <c r="C5" s="4" t="inlineStr">
        <is>
          <t>Kendi ilgisini fark eder</t>
        </is>
      </c>
      <c r="D5" s="4" t="inlineStr">
        <is>
          <t>Hangi modül gelir üretiyor görülür</t>
        </is>
      </c>
    </row>
    <row r="6">
      <c r="A6" s="4" t="inlineStr">
        <is>
          <t>Profil bazlı harcama</t>
        </is>
      </c>
      <c r="B6" s="4" t="inlineStr">
        <is>
          <t>Hangi profil için kaç kredi</t>
        </is>
      </c>
      <c r="C6" s="4" t="inlineStr">
        <is>
          <t>Aile/pet/kendi profili ayrışır</t>
        </is>
      </c>
      <c r="D6" s="4" t="inlineStr">
        <is>
          <t>Profil bazlı LTV anlaşılır</t>
        </is>
      </c>
    </row>
    <row r="7">
      <c r="A7" s="4" t="inlineStr">
        <is>
          <t>Follow-up harcaması</t>
        </is>
      </c>
      <c r="B7" s="4" t="inlineStr">
        <is>
          <t>İlk yorum ve soru maliyeti ayrımı</t>
        </is>
      </c>
      <c r="C7" s="4" t="inlineStr">
        <is>
          <t>Sürpriz maliyet azalır</t>
        </is>
      </c>
      <c r="D7" s="4" t="inlineStr">
        <is>
          <t>Follow-up pricing optimize edilir</t>
        </is>
      </c>
    </row>
    <row r="8">
      <c r="A8" s="4" t="inlineStr">
        <is>
          <t>Bonus kredi geçmişi</t>
        </is>
      </c>
      <c r="B8" s="4" t="inlineStr">
        <is>
          <t>Nereden geldi, ne zaman biter</t>
        </is>
      </c>
      <c r="C8" s="4" t="inlineStr">
        <is>
          <t>Güven verir</t>
        </is>
      </c>
      <c r="D8" s="4" t="inlineStr">
        <is>
          <t>Bonus maliyeti kontrol edilir</t>
        </is>
      </c>
    </row>
    <row r="9">
      <c r="A9" s="4" t="inlineStr">
        <is>
          <t>Tavsiye</t>
        </is>
      </c>
      <c r="B9" s="4" t="inlineStr">
        <is>
          <t>Daha uygun paket / daha ekonomik okuma</t>
        </is>
      </c>
      <c r="C9" s="4" t="inlineStr">
        <is>
          <t>Adil yönlendirme</t>
        </is>
      </c>
      <c r="D9" s="4" t="inlineStr">
        <is>
          <t>Marjı koruyan upsell</t>
        </is>
      </c>
    </row>
  </sheetData>
  <autoFilter ref="A2:D9"/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08080"/>
    <outlinePr summaryBelow="1" summaryRight="1"/>
    <pageSetUpPr/>
  </sheetPr>
  <dimension ref="A1:B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6" customWidth="1" min="2" max="2"/>
  </cols>
  <sheetData>
    <row r="1">
      <c r="A1" s="1" t="inlineStr">
        <is>
          <t>Model Notları</t>
        </is>
      </c>
      <c r="B1" s="2" t="n"/>
    </row>
    <row r="2">
      <c r="A2" s="3" t="inlineStr">
        <is>
          <t>Başlık</t>
        </is>
      </c>
      <c r="B2" s="3" t="inlineStr">
        <is>
          <t>Not</t>
        </is>
      </c>
    </row>
    <row r="3">
      <c r="A3" s="4" t="inlineStr">
        <is>
          <t>Genel fallar</t>
        </is>
      </c>
      <c r="B3" s="4" t="inlineStr">
        <is>
          <t>Bu modelde genel fallar krediye dahil edilmedi. Genel fallar reklam/organik kullanım alanı olarak düşünülmeli.</t>
        </is>
      </c>
    </row>
    <row r="4">
      <c r="A4" s="4" t="inlineStr">
        <is>
          <t>Kişiye özel fallar</t>
        </is>
      </c>
      <c r="B4" s="4" t="inlineStr">
        <is>
          <t>Kredi ekonomisinin ana gelir alanı kişiye özel fallar: kahve, el/pati, tarot, rüya, astro, numeroloji, ilişki/aile okuması.</t>
        </is>
      </c>
    </row>
    <row r="5">
      <c r="A5" s="4" t="inlineStr">
        <is>
          <t>Vergi</t>
        </is>
      </c>
      <c r="B5" s="4" t="inlineStr">
        <is>
          <t>KDV/VAT ve gelir vergisi basitleştirilmiş hesaplandı. Store ülkesi, şirket ülkesi, fatura yapısı ve muhasebeye göre gerçek değer değişir.</t>
        </is>
      </c>
    </row>
    <row r="6">
      <c r="A6" s="4" t="inlineStr">
        <is>
          <t>Store komisyonu</t>
        </is>
      </c>
      <c r="B6" s="4" t="inlineStr">
        <is>
          <t>Her zaman %30 alındı. Küçük geliştirici programları hesaba katılmadı.</t>
        </is>
      </c>
    </row>
    <row r="7">
      <c r="A7" s="4" t="inlineStr">
        <is>
          <t>Paranoyak maliyet</t>
        </is>
      </c>
      <c r="B7" s="4" t="inlineStr">
        <is>
          <t>Gemini maliyeti 3x, server maliyeti 10x büyütüldü. Bu muhafazakâr karar fiyat tamponu için.</t>
        </is>
      </c>
    </row>
    <row r="8">
      <c r="A8" s="4" t="inlineStr">
        <is>
          <t>Rate-limit</t>
        </is>
      </c>
      <c r="B8" s="4" t="inlineStr">
        <is>
          <t>20k input + 20k output ve 2x token güvenlik katsayısı ile tek Gemini limit setinde günlük fal kapasitesi yaklaşık 153 bin fal/gün çıkar. 100K DAU x 10 fal/gün için limit artışı veya çoklu kapasite gerekir.</t>
        </is>
      </c>
    </row>
    <row r="9">
      <c r="A9" s="4" t="inlineStr">
        <is>
          <t>Virgül/nokta</t>
        </is>
      </c>
      <c r="B9" s="4" t="inlineStr">
        <is>
          <t>Metinlerde Türkçe ondalık virgül kullanıldı. Sayısal hücreler Excel yerel ayarına göre virgüllü görünür.</t>
        </is>
      </c>
    </row>
  </sheetData>
  <autoFilter ref="A2:B9"/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2026-05-07T13:13:17Z</dcterms:created>
  <dcterms:modified xsi:type="dcterms:W3CDTF">2026-05-07T13:13:17Z</dcterms:modified>
</cp:coreProperties>
</file>